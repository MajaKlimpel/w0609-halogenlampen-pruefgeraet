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emp\Klimpel\w0609-halogenlampen-pruefgeraet\Elektronik\Fertigungsdaten\BOM\"/>
    </mc:Choice>
  </mc:AlternateContent>
  <xr:revisionPtr revIDLastSave="0" documentId="13_ncr:1_{D48B924D-CE7B-4182-9CA8-C3C305052628}" xr6:coauthVersionLast="47" xr6:coauthVersionMax="47" xr10:uidLastSave="{00000000-0000-0000-0000-000000000000}"/>
  <bookViews>
    <workbookView xWindow="28680" yWindow="-120" windowWidth="29040" windowHeight="17520" xr2:uid="{CF95FE95-9282-40D1-9538-8E604CE0F71F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C12" i="1"/>
  <c r="F12" i="1"/>
  <c r="A15" i="1"/>
  <c r="A14" i="1"/>
  <c r="A1" i="1"/>
</calcChain>
</file>

<file path=xl/sharedStrings.xml><?xml version="1.0" encoding="utf-8"?>
<sst xmlns="http://schemas.openxmlformats.org/spreadsheetml/2006/main" count="174" uniqueCount="137">
  <si>
    <t>Pos.</t>
  </si>
  <si>
    <t>Name</t>
  </si>
  <si>
    <t>Baugruppe</t>
  </si>
  <si>
    <t>Projekt</t>
  </si>
  <si>
    <t>Datum</t>
  </si>
  <si>
    <t>Bearbeitet</t>
  </si>
  <si>
    <t>Geprüft</t>
  </si>
  <si>
    <t>Hersteller</t>
  </si>
  <si>
    <t>Beschreibung</t>
  </si>
  <si>
    <t>Änderung</t>
  </si>
  <si>
    <t>Stk.</t>
  </si>
  <si>
    <t>Referenz</t>
  </si>
  <si>
    <t>Art.-Nr.</t>
  </si>
  <si>
    <t>Version</t>
  </si>
  <si>
    <t>G1868</t>
  </si>
  <si>
    <t>V25/26</t>
  </si>
  <si>
    <t>Halogenlampenprüfplatz</t>
  </si>
  <si>
    <t>Klimpel</t>
  </si>
  <si>
    <t>19.06.2026</t>
  </si>
  <si>
    <t/>
  </si>
  <si>
    <t>Musterfreigabe</t>
  </si>
  <si>
    <t>Quantity</t>
  </si>
  <si>
    <t>Designator</t>
  </si>
  <si>
    <t>C1, C2, C3, C6, C7, C11, C16, C18, C19, C23, C25, C27, C28, C29, C30, C31, C32, C33, C40, C43, C44, C45, C46, C47, C48, C49, C50, C51, C52, C53, C63, C65, C67, C69, C70, C71, C72, C73, C74, C75, C76, C77, C78, C79, C80, C90, C91, C92, C96, C97, C98, C99, C100, C101, C102, C103, C108, C109, C110, C111, C112, C113, C114, C115, C116, C129, C130, C131, C132</t>
  </si>
  <si>
    <t>C4, C5</t>
  </si>
  <si>
    <t>C8, C9, C13, C14, C20, C21, C34, C35, C36, C37, C54, C55, C56, C57, C58, C59, C81, C82, C83, C84, C85, C86, C104, C105</t>
  </si>
  <si>
    <t>C10, C15, C22, C26, C41, C42, C64, C66, C68, C93, C94, C95, C107</t>
  </si>
  <si>
    <t>C12, C17, C24, C38, C39, C60, C61, C62, C87, C88, C89, C106</t>
  </si>
  <si>
    <t>C117, C118</t>
  </si>
  <si>
    <t>C119, C120, C121, C122, C123, C124, C125, C126, C127, C128</t>
  </si>
  <si>
    <t>D1, D2, D3, D4, D5, D6, D7, D8, D9, D10</t>
  </si>
  <si>
    <t>IC1</t>
  </si>
  <si>
    <t>IC2, IC3</t>
  </si>
  <si>
    <t>IC4, IC5, IC7, IC13, IC14, IC20, IC21, IC22, IC29, IC30, IC31, IC37</t>
  </si>
  <si>
    <t>IC6, IC11, IC12, IC17, IC18, IC19, IC26, IC27, IC28, IC36</t>
  </si>
  <si>
    <t>IC8, IC15, IC16, IC23, IC24, IC25, IC32, IC33, IC34, IC38</t>
  </si>
  <si>
    <t>IC9, IC35</t>
  </si>
  <si>
    <t>IC10</t>
  </si>
  <si>
    <t>IC39, IC40, IC41, IC42, IC43, IC44</t>
  </si>
  <si>
    <t>MP1, MP2, MP3, MP4, MP5, MP6, MP7, MP8, MP9, MP10, MP11, MP12, MP13, MP14, MP15, MP16, MP17, MP18, MP19, MP20</t>
  </si>
  <si>
    <t>R1, R2, R88, R98</t>
  </si>
  <si>
    <t>R3, R4</t>
  </si>
  <si>
    <t>R5</t>
  </si>
  <si>
    <t>R6, R11</t>
  </si>
  <si>
    <t>R7</t>
  </si>
  <si>
    <t>R8, R9, R10, R13, R14, R15, R19, R22, R24, R26, R27, R28, R32, R33, R34, R35, R42, R43, R44, R45, R48, R49, R53, R54, R55, R56, R57, R58, R68, R69, R71, R73, R77, R78, R79, R83, R84, R85, R99, R101, R103, R107, R108, R109, R111, R117, R119</t>
  </si>
  <si>
    <t>R12</t>
  </si>
  <si>
    <t>R16</t>
  </si>
  <si>
    <t>R17, R18</t>
  </si>
  <si>
    <t>R20, R30, R31, R50, R51, R52, R80, R81, R82, R110</t>
  </si>
  <si>
    <t>R21, R36, R38, R59, R61, R63, R89, R91, R93, R113</t>
  </si>
  <si>
    <t>R23, R37, R39, R60, R62, R64, R90, R92, R94, R114</t>
  </si>
  <si>
    <t>R25, R40, R41, R65, R66, R67, R95, R96, R97, R115</t>
  </si>
  <si>
    <t>R29, R46, R47, R74, R75, R76, R104, R105, R106, R118</t>
  </si>
  <si>
    <t>R70, R72, R86, R87</t>
  </si>
  <si>
    <t>ST1, ST3</t>
  </si>
  <si>
    <t>ST2</t>
  </si>
  <si>
    <t>ST4</t>
  </si>
  <si>
    <t>ST5</t>
  </si>
  <si>
    <t>ST6, ST7, ST8, ST9, ST10, ST11, ST12, ST13, ST14, ST15</t>
  </si>
  <si>
    <t>T1, T2, T3</t>
  </si>
  <si>
    <t>TP1, TP2, TP3, TP4, TP5, TP6, TP7, TP8, TP9, TP10, TP11, TP12, TP13, TP14, TP15, TP16, TP17, TP18, TP19, TP20, TP21, TP22, TP23, TP24, TP25, TP26, TP27, TP28, TP29, TP30, TP31, TP32, TP33, TP34, TP35, TP36, TP37, TP38, TP39, TP40, TP41, TP42, TP43, TP44, TP45, TP46, TP47, TP48, TP49, TP50, TP59, TP60, TP61, TP62, TP63, TP65, TP66, TP67, TP68</t>
  </si>
  <si>
    <t>TP51, TP52, TP53, TP55, TP56, TP57, TP58, TP64, TP70</t>
  </si>
  <si>
    <t>Manufacturer 1</t>
  </si>
  <si>
    <t>Wurth Elektronik</t>
  </si>
  <si>
    <t>Vishay</t>
  </si>
  <si>
    <t>PJRC, Würth</t>
  </si>
  <si>
    <t>Texas Instruments</t>
  </si>
  <si>
    <t>Analog Devices</t>
  </si>
  <si>
    <t>PEM</t>
  </si>
  <si>
    <t>Molex</t>
  </si>
  <si>
    <t>JST Commercial</t>
  </si>
  <si>
    <t>WAGO</t>
  </si>
  <si>
    <t>onsemi</t>
  </si>
  <si>
    <t>Harwin</t>
  </si>
  <si>
    <t>Keystone Electronics</t>
  </si>
  <si>
    <t>Manufacturer Part Number 1</t>
  </si>
  <si>
    <t>875115557005</t>
  </si>
  <si>
    <t>BAT54W-HG3-08</t>
  </si>
  <si>
    <t>Teensy 4.1, 2x61302411821</t>
  </si>
  <si>
    <t>SN74LV1T08DCKR</t>
  </si>
  <si>
    <t>TPSM863252RDXR</t>
  </si>
  <si>
    <t>INA190A1IDCKR</t>
  </si>
  <si>
    <t>TLV9001TIDCKR</t>
  </si>
  <si>
    <t>CD74HC4067SM96</t>
  </si>
  <si>
    <t>AD5673RBCPZ-2</t>
  </si>
  <si>
    <t>TMP1075DSGR</t>
  </si>
  <si>
    <t>SMTSO-M3-10ET</t>
  </si>
  <si>
    <t>47053-1000</t>
  </si>
  <si>
    <t>68611614122</t>
  </si>
  <si>
    <t>B4P-VH-B(LF)(SN)</t>
  </si>
  <si>
    <t>2601-3102</t>
  </si>
  <si>
    <t>BSS138</t>
  </si>
  <si>
    <t>S2761-46R</t>
  </si>
  <si>
    <t>5011</t>
  </si>
  <si>
    <t>Description</t>
  </si>
  <si>
    <t>MLCC 100 nF, 0402, 50 V, 10 %, X7R</t>
  </si>
  <si>
    <t>MLCC 1 nF, 0402, 50 V, 10 %, X7R</t>
  </si>
  <si>
    <t>MLCC 22 µF, 0805, 25 V, 20 %, X5R</t>
  </si>
  <si>
    <t>MLCC 10 µF, 0805, 25 V, 10 %, X7R</t>
  </si>
  <si>
    <t>MLCC 22 pF, 0402, 25 V, 10 %, C0G</t>
  </si>
  <si>
    <t>MLCC 10 nF, 0402, 50 V, 10 %, X7R</t>
  </si>
  <si>
    <t>WCAP-PSHP Aluminum Polymer Capacitors, 150uF, 25V</t>
  </si>
  <si>
    <t>Diode Small Signal Schottky 30V 0.2A 2-Pin SOD-123 T/R Automotive AEC-Q101</t>
  </si>
  <si>
    <t>MCU</t>
  </si>
  <si>
    <t>Single power supply 2-input POSITIVE AND Gate with Logic Level Shifter 5-SC70 -40 to 125</t>
  </si>
  <si>
    <t>3-V to 17-V input voltage, 3-A Eco-mode synchronous buck module</t>
  </si>
  <si>
    <t>Precision Current-Sense Amplifier Bi-Directional 1-Channel 200V/V 1.7V to 5.5V 6-Pin SC-70 T/R</t>
  </si>
  <si>
    <t>Operational Amplifier Single 2V/us 1.8V to 5.5V 5-Pin SC-70 T/R</t>
  </si>
  <si>
    <t>5V, 16: 1, 1-channel, analog multiplexer 24-SSOP -55 to 125</t>
  </si>
  <si>
    <t>16-Channel, 16-Bit nanoDAC+ with 2 ppm/°C Voltage Reference TC, I2C Interface</t>
  </si>
  <si>
    <t>IC TEMP SENSOR / Temperature Sensor Digital, Local -55°C ~ 125°C 12 b 8-WSON (2x2)</t>
  </si>
  <si>
    <t>Fixed Resistor, Wire Wound, 2W, 6.8ohm, 300V, 5% +/-Tol, -200, 200ppm/Cel, Surface Mount, 2616</t>
  </si>
  <si>
    <t>Resistor 1 kOhm, 0402, 1 %, TK100, 63 mW</t>
  </si>
  <si>
    <t>Resistor 100 Ohm, 0402, 1 %, TK100, 63 mW</t>
  </si>
  <si>
    <t>Resistor 100 kOhm, 0402, 1 %, TK100, 63 mW</t>
  </si>
  <si>
    <t>Resistor 30 kOhm, 0402, 1 %, TK100, 63 mW</t>
  </si>
  <si>
    <t>Resistor 45.3 kOhm, 0402, 0.1 %, TK25, 63 mW</t>
  </si>
  <si>
    <t>Resistor 10 kOhm, 0402, 1 %, TK100, 63 mW</t>
  </si>
  <si>
    <t>Resistor 75 kOhm, 0402, 1 %, TK100, 63 mW</t>
  </si>
  <si>
    <t>Resistor  499 Ohm, 0603, 1 %, TK100, 100 mW</t>
  </si>
  <si>
    <t>Resistor 270 Ohm, 0603, 1 %, TK100, 100 mW</t>
  </si>
  <si>
    <t>Resistor 75 mOhm, 0805, 1 %, TK50, 750 mW</t>
  </si>
  <si>
    <t>Resistor 93.1 kOhm, 0402, 0.1 %, TK25, 63 mW</t>
  </si>
  <si>
    <t>Resistor 11.3 kOhm, 0402, 1 %, TK100, 63 mW</t>
  </si>
  <si>
    <t>Resistor 64.9 kOhm, 0402, 0.1 %, TK25, 63 mW</t>
  </si>
  <si>
    <t>Resistor 1.6 kOhm, 0402, 0.1 %, TK25, 63 mW</t>
  </si>
  <si>
    <t>Resistor 4.7 kOhm, 0402, 1 %, TK100, 63 mW</t>
  </si>
  <si>
    <t>KK 254 Vertical Header, with Friction Lock, 4 Circuits, PC Tail Length 3.50mm, Bag</t>
  </si>
  <si>
    <t>Ffc / Fpc Board Connector, Zif, Surface Mount, Plug, 16, Bottom, 1 Mm Rohs Compliant: Yes</t>
  </si>
  <si>
    <t>Locking Header, Top Entry Type of PBT, 4 Circuit, 3.96mmPitch</t>
  </si>
  <si>
    <t>Board Connector, 7 Contact(s), 1 Row(s), Male, Straight, Surface Mount Terminal</t>
  </si>
  <si>
    <t>PCB terminal block, lever 1.5 mm² Pin spacing 3.5 mm 2-pole; gray</t>
  </si>
  <si>
    <t>Trans MOSFET N Channel 50 Volt 0.22A 3-Pin SOT-23 Tape and Reel</t>
  </si>
  <si>
    <t>Test Terminal for Standard Test Probes, Micro Test Lead Clips and Hooks Brass T/R</t>
  </si>
  <si>
    <t>Test Point, Multipurpose, Thm, .445 L, .125 Od, Heat Resistant Nylon 46, Black</t>
  </si>
  <si>
    <t>Hemmer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</si>
</sst>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18"/>
      <color theme="1"/>
      <name val="Bahnschrift"/>
      <family val="2"/>
    </font>
    <font>
      <sz val="8"/>
      <color theme="1"/>
      <name val="Bahnschrift Semi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wrapText="1"/>
    </xf>
    <xf numFmtId="0" fontId="4" fillId="0" borderId="1" xfId="0" quotePrefix="1" applyFont="1" applyBorder="1" applyAlignment="1">
      <alignment horizontal="center" wrapText="1"/>
    </xf>
    <xf numFmtId="0" fontId="4" fillId="3" borderId="1" xfId="0" quotePrefix="1" applyFont="1" applyFill="1" applyBorder="1" applyAlignment="1">
      <alignment horizontal="center" vertical="center"/>
    </xf>
    <xf numFmtId="0" fontId="1" fillId="0" borderId="0" xfId="0" quotePrefix="1" applyFont="1"/>
    <xf numFmtId="0" fontId="4" fillId="0" borderId="1" xfId="0" quotePrefix="1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4" fillId="3" borderId="1" xfId="0" quotePrefix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4" xfId="0" quotePrefix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4" fillId="3" borderId="1" xfId="0" quotePrefix="1" applyNumberFormat="1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181645</xdr:colOff>
      <xdr:row>0</xdr:row>
      <xdr:rowOff>73928</xdr:rowOff>
    </xdr:from>
    <xdr:to>
      <xdr:col>5</xdr:col>
      <xdr:colOff>2069173</xdr:colOff>
      <xdr:row>1</xdr:row>
      <xdr:rowOff>166077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BB3308F1-2F58-09B5-F136-7EB58A75B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5376" y="73928"/>
          <a:ext cx="1887528" cy="370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605D-C6DA-423F-A83A-51FC3C339F3D}">
  <dimension ref="A1:G67"/>
  <sheetViews>
    <sheetView tabSelected="1" zoomScale="145" zoomScaleNormal="145" workbookViewId="0">
      <selection activeCell="A10" sqref="A10"/>
    </sheetView>
  </sheetViews>
  <sheetFormatPr baseColWidth="10" defaultColWidth="10.85546875" defaultRowHeight="14.25" x14ac:dyDescent="0.2"/>
  <cols>
    <col min="1" max="1" width="5.140625" style="1" customWidth="1"/>
    <col min="2" max="2" width="5.5703125" style="1" customWidth="1"/>
    <col min="3" max="3" width="12.5703125" style="1" customWidth="1"/>
    <col min="4" max="4" width="13" style="1" customWidth="1"/>
    <col min="5" max="5" width="19" style="1" customWidth="1"/>
    <col min="6" max="6" width="31.5703125" style="1" customWidth="1"/>
    <col min="7" max="16384" width="10.85546875" style="1"/>
  </cols>
  <sheetData>
    <row r="1" spans="1:7" ht="22.5" x14ac:dyDescent="0.3">
      <c r="A1" s="4" t="str">
        <f>"Stückliste " &amp; C3 &amp; " " &amp; C4</f>
        <v>Stückliste G1868 V25/26</v>
      </c>
    </row>
    <row r="2" spans="1:7" x14ac:dyDescent="0.2">
      <c r="A2" s="2"/>
      <c r="B2" s="2"/>
      <c r="C2" s="2"/>
      <c r="D2" s="2"/>
      <c r="E2" s="3"/>
      <c r="F2" s="3"/>
    </row>
    <row r="3" spans="1:7" x14ac:dyDescent="0.2">
      <c r="A3" s="36" t="s">
        <v>2</v>
      </c>
      <c r="B3" s="36"/>
      <c r="C3" s="28" t="s">
        <v>14</v>
      </c>
      <c r="D3" s="5"/>
      <c r="E3" s="5"/>
      <c r="F3" s="6"/>
    </row>
    <row r="4" spans="1:7" x14ac:dyDescent="0.2">
      <c r="A4" s="39" t="s">
        <v>13</v>
      </c>
      <c r="B4" s="40"/>
      <c r="C4" s="28" t="s">
        <v>15</v>
      </c>
      <c r="D4" s="5"/>
      <c r="E4" s="5"/>
      <c r="F4" s="6"/>
    </row>
    <row r="5" spans="1:7" ht="21.75" x14ac:dyDescent="0.2">
      <c r="A5" s="36" t="s">
        <v>3</v>
      </c>
      <c r="B5" s="36"/>
      <c r="C5" s="28" t="s">
        <v>16</v>
      </c>
      <c r="D5" s="5"/>
      <c r="E5" s="5"/>
      <c r="F5" s="5"/>
    </row>
    <row r="6" spans="1:7" x14ac:dyDescent="0.2">
      <c r="A6" s="5"/>
      <c r="B6" s="5"/>
      <c r="C6" s="5"/>
      <c r="D6" s="5"/>
      <c r="E6" s="5"/>
      <c r="F6" s="5"/>
    </row>
    <row r="7" spans="1:7" x14ac:dyDescent="0.2">
      <c r="A7" s="35" t="s">
        <v>1</v>
      </c>
      <c r="B7" s="35"/>
      <c r="C7" s="23" t="s">
        <v>4</v>
      </c>
      <c r="D7" s="6"/>
      <c r="E7" s="5"/>
      <c r="F7" s="5"/>
    </row>
    <row r="8" spans="1:7" x14ac:dyDescent="0.2">
      <c r="A8" s="37" t="s">
        <v>17</v>
      </c>
      <c r="B8" s="38"/>
      <c r="C8" s="29" t="s">
        <v>18</v>
      </c>
      <c r="D8" s="7" t="s">
        <v>5</v>
      </c>
      <c r="E8" s="5"/>
      <c r="F8" s="5"/>
    </row>
    <row r="9" spans="1:7" x14ac:dyDescent="0.2">
      <c r="A9" s="37" t="s">
        <v>136</v>
      </c>
      <c r="B9" s="38"/>
      <c r="C9" s="45">
        <v>46193</v>
      </c>
      <c r="D9" s="7" t="s">
        <v>6</v>
      </c>
      <c r="E9" s="5"/>
      <c r="F9" s="5"/>
    </row>
    <row r="10" spans="1:7" x14ac:dyDescent="0.2">
      <c r="A10" s="5"/>
      <c r="B10" s="5"/>
      <c r="C10" s="5"/>
      <c r="D10" s="5"/>
      <c r="E10" s="5"/>
      <c r="F10" s="5"/>
    </row>
    <row r="11" spans="1:7" x14ac:dyDescent="0.2">
      <c r="A11" s="9" t="s">
        <v>0</v>
      </c>
      <c r="B11" s="9" t="s">
        <v>10</v>
      </c>
      <c r="C11" s="10" t="s">
        <v>11</v>
      </c>
      <c r="D11" s="25" t="s">
        <v>7</v>
      </c>
      <c r="E11" s="25" t="s">
        <v>12</v>
      </c>
      <c r="F11" s="25" t="s">
        <v>8</v>
      </c>
    </row>
    <row r="12" spans="1:7" x14ac:dyDescent="0.2">
      <c r="A12" s="8">
        <v>1</v>
      </c>
      <c r="B12" s="8">
        <v>1</v>
      </c>
      <c r="C12" s="26" t="str">
        <f>G13 &amp; " " &amp; C4</f>
        <v xml:space="preserve"> V25/26</v>
      </c>
      <c r="D12" s="11"/>
      <c r="E12" s="11"/>
      <c r="F12" s="12" t="str">
        <f>"Leiterplatte " &amp; G13 &amp; " " &amp; C4 &amp;", FR4 UL94 V0"</f>
        <v>Leiterplatte  V25/26, FR4 UL94 V0</v>
      </c>
    </row>
    <row r="13" spans="1:7" hidden="1" x14ac:dyDescent="0.2">
      <c r="A13" s="13"/>
      <c r="B13" s="13" t="s">
        <v>21</v>
      </c>
      <c r="C13" s="27" t="s">
        <v>22</v>
      </c>
      <c r="D13" s="14" t="s">
        <v>63</v>
      </c>
      <c r="E13" s="14" t="s">
        <v>76</v>
      </c>
      <c r="F13" s="14" t="s">
        <v>95</v>
      </c>
      <c r="G13" s="30" t="s">
        <v>19</v>
      </c>
    </row>
    <row r="14" spans="1:7" ht="210" x14ac:dyDescent="0.2">
      <c r="A14" s="15">
        <f t="shared" ref="A14:A53" si="0">ROW()-12</f>
        <v>2</v>
      </c>
      <c r="B14" s="15">
        <v>69</v>
      </c>
      <c r="C14" s="16" t="s">
        <v>23</v>
      </c>
      <c r="D14" s="17"/>
      <c r="E14" s="18"/>
      <c r="F14" s="17" t="s">
        <v>96</v>
      </c>
    </row>
    <row r="15" spans="1:7" x14ac:dyDescent="0.2">
      <c r="A15" s="15">
        <f t="shared" si="0"/>
        <v>3</v>
      </c>
      <c r="B15" s="15">
        <v>2</v>
      </c>
      <c r="C15" s="16" t="s">
        <v>24</v>
      </c>
      <c r="D15" s="17"/>
      <c r="E15" s="18"/>
      <c r="F15" s="17" t="s">
        <v>97</v>
      </c>
    </row>
    <row r="16" spans="1:7" ht="73.5" x14ac:dyDescent="0.2">
      <c r="A16" s="15">
        <f t="shared" si="0"/>
        <v>4</v>
      </c>
      <c r="B16" s="15">
        <v>24</v>
      </c>
      <c r="C16" s="16" t="s">
        <v>25</v>
      </c>
      <c r="D16" s="17"/>
      <c r="E16" s="18"/>
      <c r="F16" s="17" t="s">
        <v>98</v>
      </c>
    </row>
    <row r="17" spans="1:6" ht="42" x14ac:dyDescent="0.2">
      <c r="A17" s="15">
        <f t="shared" si="0"/>
        <v>5</v>
      </c>
      <c r="B17" s="15">
        <v>13</v>
      </c>
      <c r="C17" s="16" t="s">
        <v>26</v>
      </c>
      <c r="D17" s="17"/>
      <c r="E17" s="18"/>
      <c r="F17" s="17" t="s">
        <v>99</v>
      </c>
    </row>
    <row r="18" spans="1:6" ht="42" x14ac:dyDescent="0.2">
      <c r="A18" s="15">
        <f t="shared" si="0"/>
        <v>6</v>
      </c>
      <c r="B18" s="15">
        <v>12</v>
      </c>
      <c r="C18" s="16" t="s">
        <v>27</v>
      </c>
      <c r="D18" s="17"/>
      <c r="E18" s="18"/>
      <c r="F18" s="17" t="s">
        <v>100</v>
      </c>
    </row>
    <row r="19" spans="1:6" x14ac:dyDescent="0.2">
      <c r="A19" s="15">
        <f t="shared" si="0"/>
        <v>7</v>
      </c>
      <c r="B19" s="15">
        <v>2</v>
      </c>
      <c r="C19" s="16" t="s">
        <v>28</v>
      </c>
      <c r="D19" s="17"/>
      <c r="E19" s="18"/>
      <c r="F19" s="17" t="s">
        <v>101</v>
      </c>
    </row>
    <row r="20" spans="1:6" ht="42" x14ac:dyDescent="0.2">
      <c r="A20" s="15">
        <f t="shared" si="0"/>
        <v>8</v>
      </c>
      <c r="B20" s="15">
        <v>10</v>
      </c>
      <c r="C20" s="16" t="s">
        <v>29</v>
      </c>
      <c r="D20" s="17" t="s">
        <v>64</v>
      </c>
      <c r="E20" s="18" t="s">
        <v>77</v>
      </c>
      <c r="F20" s="17" t="s">
        <v>102</v>
      </c>
    </row>
    <row r="21" spans="1:6" ht="21" x14ac:dyDescent="0.2">
      <c r="A21" s="15">
        <f t="shared" si="0"/>
        <v>9</v>
      </c>
      <c r="B21" s="15">
        <v>10</v>
      </c>
      <c r="C21" s="16" t="s">
        <v>30</v>
      </c>
      <c r="D21" s="17" t="s">
        <v>65</v>
      </c>
      <c r="E21" s="18" t="s">
        <v>78</v>
      </c>
      <c r="F21" s="17" t="s">
        <v>103</v>
      </c>
    </row>
    <row r="22" spans="1:6" x14ac:dyDescent="0.2">
      <c r="A22" s="15">
        <f t="shared" si="0"/>
        <v>10</v>
      </c>
      <c r="B22" s="15">
        <v>1</v>
      </c>
      <c r="C22" s="16" t="s">
        <v>31</v>
      </c>
      <c r="D22" s="17" t="s">
        <v>66</v>
      </c>
      <c r="E22" s="18" t="s">
        <v>79</v>
      </c>
      <c r="F22" s="17" t="s">
        <v>104</v>
      </c>
    </row>
    <row r="23" spans="1:6" ht="21" x14ac:dyDescent="0.2">
      <c r="A23" s="15">
        <f t="shared" si="0"/>
        <v>11</v>
      </c>
      <c r="B23" s="15">
        <v>2</v>
      </c>
      <c r="C23" s="16" t="s">
        <v>32</v>
      </c>
      <c r="D23" s="17" t="s">
        <v>67</v>
      </c>
      <c r="E23" s="18" t="s">
        <v>80</v>
      </c>
      <c r="F23" s="17" t="s">
        <v>105</v>
      </c>
    </row>
    <row r="24" spans="1:6" ht="42" x14ac:dyDescent="0.2">
      <c r="A24" s="15">
        <f t="shared" si="0"/>
        <v>12</v>
      </c>
      <c r="B24" s="15">
        <v>12</v>
      </c>
      <c r="C24" s="16" t="s">
        <v>33</v>
      </c>
      <c r="D24" s="17" t="s">
        <v>67</v>
      </c>
      <c r="E24" s="18" t="s">
        <v>81</v>
      </c>
      <c r="F24" s="17" t="s">
        <v>106</v>
      </c>
    </row>
    <row r="25" spans="1:6" ht="31.5" x14ac:dyDescent="0.2">
      <c r="A25" s="15">
        <f t="shared" si="0"/>
        <v>13</v>
      </c>
      <c r="B25" s="15">
        <v>10</v>
      </c>
      <c r="C25" s="16" t="s">
        <v>34</v>
      </c>
      <c r="D25" s="17" t="s">
        <v>67</v>
      </c>
      <c r="E25" s="18" t="s">
        <v>82</v>
      </c>
      <c r="F25" s="17" t="s">
        <v>107</v>
      </c>
    </row>
    <row r="26" spans="1:6" ht="42" x14ac:dyDescent="0.2">
      <c r="A26" s="15">
        <f t="shared" si="0"/>
        <v>14</v>
      </c>
      <c r="B26" s="15">
        <v>10</v>
      </c>
      <c r="C26" s="16" t="s">
        <v>35</v>
      </c>
      <c r="D26" s="17" t="s">
        <v>67</v>
      </c>
      <c r="E26" s="18" t="s">
        <v>83</v>
      </c>
      <c r="F26" s="17" t="s">
        <v>108</v>
      </c>
    </row>
    <row r="27" spans="1:6" ht="21" x14ac:dyDescent="0.2">
      <c r="A27" s="15">
        <f t="shared" si="0"/>
        <v>15</v>
      </c>
      <c r="B27" s="15">
        <v>2</v>
      </c>
      <c r="C27" s="16" t="s">
        <v>36</v>
      </c>
      <c r="D27" s="17" t="s">
        <v>67</v>
      </c>
      <c r="E27" s="18" t="s">
        <v>84</v>
      </c>
      <c r="F27" s="17" t="s">
        <v>109</v>
      </c>
    </row>
    <row r="28" spans="1:6" ht="21" x14ac:dyDescent="0.2">
      <c r="A28" s="15">
        <f t="shared" si="0"/>
        <v>16</v>
      </c>
      <c r="B28" s="15">
        <v>1</v>
      </c>
      <c r="C28" s="16" t="s">
        <v>37</v>
      </c>
      <c r="D28" s="17" t="s">
        <v>68</v>
      </c>
      <c r="E28" s="18" t="s">
        <v>85</v>
      </c>
      <c r="F28" s="17" t="s">
        <v>110</v>
      </c>
    </row>
    <row r="29" spans="1:6" ht="21" x14ac:dyDescent="0.2">
      <c r="A29" s="15">
        <f t="shared" si="0"/>
        <v>17</v>
      </c>
      <c r="B29" s="15">
        <v>6</v>
      </c>
      <c r="C29" s="16" t="s">
        <v>38</v>
      </c>
      <c r="D29" s="17" t="s">
        <v>67</v>
      </c>
      <c r="E29" s="18" t="s">
        <v>86</v>
      </c>
      <c r="F29" s="17" t="s">
        <v>111</v>
      </c>
    </row>
    <row r="30" spans="1:6" ht="73.5" x14ac:dyDescent="0.2">
      <c r="A30" s="15">
        <f t="shared" si="0"/>
        <v>18</v>
      </c>
      <c r="B30" s="15">
        <v>20</v>
      </c>
      <c r="C30" s="16" t="s">
        <v>39</v>
      </c>
      <c r="D30" s="17" t="s">
        <v>69</v>
      </c>
      <c r="E30" s="18" t="s">
        <v>87</v>
      </c>
      <c r="F30" s="17" t="s">
        <v>112</v>
      </c>
    </row>
    <row r="31" spans="1:6" x14ac:dyDescent="0.2">
      <c r="A31" s="15">
        <f t="shared" si="0"/>
        <v>19</v>
      </c>
      <c r="B31" s="15">
        <v>4</v>
      </c>
      <c r="C31" s="16" t="s">
        <v>40</v>
      </c>
      <c r="D31" s="17"/>
      <c r="E31" s="18"/>
      <c r="F31" s="17" t="s">
        <v>113</v>
      </c>
    </row>
    <row r="32" spans="1:6" x14ac:dyDescent="0.2">
      <c r="A32" s="15">
        <f t="shared" si="0"/>
        <v>20</v>
      </c>
      <c r="B32" s="15">
        <v>2</v>
      </c>
      <c r="C32" s="16" t="s">
        <v>41</v>
      </c>
      <c r="D32" s="17"/>
      <c r="E32" s="18"/>
      <c r="F32" s="17" t="s">
        <v>114</v>
      </c>
    </row>
    <row r="33" spans="1:6" x14ac:dyDescent="0.2">
      <c r="A33" s="15">
        <f t="shared" si="0"/>
        <v>21</v>
      </c>
      <c r="B33" s="15">
        <v>1</v>
      </c>
      <c r="C33" s="16" t="s">
        <v>42</v>
      </c>
      <c r="D33" s="17"/>
      <c r="E33" s="18"/>
      <c r="F33" s="17" t="s">
        <v>115</v>
      </c>
    </row>
    <row r="34" spans="1:6" x14ac:dyDescent="0.2">
      <c r="A34" s="15">
        <f t="shared" si="0"/>
        <v>22</v>
      </c>
      <c r="B34" s="15">
        <v>2</v>
      </c>
      <c r="C34" s="16" t="s">
        <v>43</v>
      </c>
      <c r="D34" s="17"/>
      <c r="E34" s="18"/>
      <c r="F34" s="17" t="s">
        <v>116</v>
      </c>
    </row>
    <row r="35" spans="1:6" x14ac:dyDescent="0.2">
      <c r="A35" s="15">
        <f t="shared" si="0"/>
        <v>23</v>
      </c>
      <c r="B35" s="15">
        <v>1</v>
      </c>
      <c r="C35" s="16" t="s">
        <v>44</v>
      </c>
      <c r="D35" s="17"/>
      <c r="E35" s="18"/>
      <c r="F35" s="17" t="s">
        <v>117</v>
      </c>
    </row>
    <row r="36" spans="1:6" ht="157.5" x14ac:dyDescent="0.2">
      <c r="A36" s="15">
        <f t="shared" si="0"/>
        <v>24</v>
      </c>
      <c r="B36" s="15">
        <v>47</v>
      </c>
      <c r="C36" s="16" t="s">
        <v>45</v>
      </c>
      <c r="D36" s="17"/>
      <c r="E36" s="18"/>
      <c r="F36" s="17" t="s">
        <v>118</v>
      </c>
    </row>
    <row r="37" spans="1:6" x14ac:dyDescent="0.2">
      <c r="A37" s="15">
        <f t="shared" si="0"/>
        <v>25</v>
      </c>
      <c r="B37" s="15">
        <v>1</v>
      </c>
      <c r="C37" s="16" t="s">
        <v>46</v>
      </c>
      <c r="D37" s="17"/>
      <c r="E37" s="18"/>
      <c r="F37" s="17" t="s">
        <v>119</v>
      </c>
    </row>
    <row r="38" spans="1:6" x14ac:dyDescent="0.2">
      <c r="A38" s="15">
        <f t="shared" si="0"/>
        <v>26</v>
      </c>
      <c r="B38" s="15">
        <v>1</v>
      </c>
      <c r="C38" s="16" t="s">
        <v>47</v>
      </c>
      <c r="D38" s="17"/>
      <c r="E38" s="18"/>
      <c r="F38" s="17" t="s">
        <v>120</v>
      </c>
    </row>
    <row r="39" spans="1:6" x14ac:dyDescent="0.2">
      <c r="A39" s="15">
        <f t="shared" si="0"/>
        <v>27</v>
      </c>
      <c r="B39" s="15">
        <v>2</v>
      </c>
      <c r="C39" s="16" t="s">
        <v>48</v>
      </c>
      <c r="D39" s="17"/>
      <c r="E39" s="18"/>
      <c r="F39" s="17" t="s">
        <v>121</v>
      </c>
    </row>
    <row r="40" spans="1:6" ht="31.5" x14ac:dyDescent="0.2">
      <c r="A40" s="15">
        <f t="shared" si="0"/>
        <v>28</v>
      </c>
      <c r="B40" s="15">
        <v>10</v>
      </c>
      <c r="C40" s="16" t="s">
        <v>49</v>
      </c>
      <c r="D40" s="17"/>
      <c r="E40" s="18"/>
      <c r="F40" s="17" t="s">
        <v>122</v>
      </c>
    </row>
    <row r="41" spans="1:6" ht="31.5" x14ac:dyDescent="0.2">
      <c r="A41" s="15">
        <f t="shared" si="0"/>
        <v>29</v>
      </c>
      <c r="B41" s="15">
        <v>10</v>
      </c>
      <c r="C41" s="16" t="s">
        <v>50</v>
      </c>
      <c r="D41" s="17"/>
      <c r="E41" s="18"/>
      <c r="F41" s="17" t="s">
        <v>123</v>
      </c>
    </row>
    <row r="42" spans="1:6" ht="31.5" x14ac:dyDescent="0.2">
      <c r="A42" s="15">
        <f t="shared" si="0"/>
        <v>30</v>
      </c>
      <c r="B42" s="15">
        <v>10</v>
      </c>
      <c r="C42" s="16" t="s">
        <v>51</v>
      </c>
      <c r="D42" s="17"/>
      <c r="E42" s="18"/>
      <c r="F42" s="17" t="s">
        <v>124</v>
      </c>
    </row>
    <row r="43" spans="1:6" ht="31.5" x14ac:dyDescent="0.2">
      <c r="A43" s="15">
        <f t="shared" si="0"/>
        <v>31</v>
      </c>
      <c r="B43" s="15">
        <v>10</v>
      </c>
      <c r="C43" s="16" t="s">
        <v>52</v>
      </c>
      <c r="D43" s="17"/>
      <c r="E43" s="18"/>
      <c r="F43" s="17" t="s">
        <v>125</v>
      </c>
    </row>
    <row r="44" spans="1:6" ht="42" x14ac:dyDescent="0.2">
      <c r="A44" s="15">
        <f t="shared" si="0"/>
        <v>32</v>
      </c>
      <c r="B44" s="15">
        <v>10</v>
      </c>
      <c r="C44" s="16" t="s">
        <v>53</v>
      </c>
      <c r="D44" s="17"/>
      <c r="E44" s="18"/>
      <c r="F44" s="17" t="s">
        <v>126</v>
      </c>
    </row>
    <row r="45" spans="1:6" x14ac:dyDescent="0.2">
      <c r="A45" s="15">
        <f t="shared" si="0"/>
        <v>33</v>
      </c>
      <c r="B45" s="15">
        <v>4</v>
      </c>
      <c r="C45" s="16" t="s">
        <v>54</v>
      </c>
      <c r="D45" s="17"/>
      <c r="E45" s="18"/>
      <c r="F45" s="17" t="s">
        <v>127</v>
      </c>
    </row>
    <row r="46" spans="1:6" ht="21" x14ac:dyDescent="0.2">
      <c r="A46" s="15">
        <f t="shared" si="0"/>
        <v>34</v>
      </c>
      <c r="B46" s="15">
        <v>2</v>
      </c>
      <c r="C46" s="16" t="s">
        <v>55</v>
      </c>
      <c r="D46" s="17" t="s">
        <v>70</v>
      </c>
      <c r="E46" s="18" t="s">
        <v>88</v>
      </c>
      <c r="F46" s="17" t="s">
        <v>128</v>
      </c>
    </row>
    <row r="47" spans="1:6" ht="21" x14ac:dyDescent="0.2">
      <c r="A47" s="15">
        <f t="shared" si="0"/>
        <v>35</v>
      </c>
      <c r="B47" s="15">
        <v>1</v>
      </c>
      <c r="C47" s="16" t="s">
        <v>56</v>
      </c>
      <c r="D47" s="17" t="s">
        <v>64</v>
      </c>
      <c r="E47" s="18" t="s">
        <v>89</v>
      </c>
      <c r="F47" s="17" t="s">
        <v>129</v>
      </c>
    </row>
    <row r="48" spans="1:6" ht="21" x14ac:dyDescent="0.2">
      <c r="A48" s="15">
        <f t="shared" si="0"/>
        <v>36</v>
      </c>
      <c r="B48" s="15">
        <v>1</v>
      </c>
      <c r="C48" s="16" t="s">
        <v>57</v>
      </c>
      <c r="D48" s="17" t="s">
        <v>71</v>
      </c>
      <c r="E48" s="18" t="s">
        <v>90</v>
      </c>
      <c r="F48" s="17" t="s">
        <v>130</v>
      </c>
    </row>
    <row r="49" spans="1:6" ht="21" x14ac:dyDescent="0.2">
      <c r="A49" s="15">
        <f t="shared" si="0"/>
        <v>37</v>
      </c>
      <c r="B49" s="15">
        <v>1</v>
      </c>
      <c r="C49" s="16" t="s">
        <v>58</v>
      </c>
      <c r="D49" s="17"/>
      <c r="E49" s="18"/>
      <c r="F49" s="17" t="s">
        <v>131</v>
      </c>
    </row>
    <row r="50" spans="1:6" ht="31.5" x14ac:dyDescent="0.2">
      <c r="A50" s="15">
        <f t="shared" si="0"/>
        <v>38</v>
      </c>
      <c r="B50" s="15">
        <v>10</v>
      </c>
      <c r="C50" s="16" t="s">
        <v>59</v>
      </c>
      <c r="D50" s="17" t="s">
        <v>72</v>
      </c>
      <c r="E50" s="18" t="s">
        <v>91</v>
      </c>
      <c r="F50" s="17" t="s">
        <v>132</v>
      </c>
    </row>
    <row r="51" spans="1:6" ht="21" x14ac:dyDescent="0.2">
      <c r="A51" s="15">
        <f t="shared" si="0"/>
        <v>39</v>
      </c>
      <c r="B51" s="15">
        <v>3</v>
      </c>
      <c r="C51" s="16" t="s">
        <v>60</v>
      </c>
      <c r="D51" s="17" t="s">
        <v>73</v>
      </c>
      <c r="E51" s="18" t="s">
        <v>92</v>
      </c>
      <c r="F51" s="17" t="s">
        <v>133</v>
      </c>
    </row>
    <row r="52" spans="1:6" ht="199.5" x14ac:dyDescent="0.2">
      <c r="A52" s="15">
        <f t="shared" si="0"/>
        <v>40</v>
      </c>
      <c r="B52" s="15">
        <v>59</v>
      </c>
      <c r="C52" s="16" t="s">
        <v>61</v>
      </c>
      <c r="D52" s="17" t="s">
        <v>74</v>
      </c>
      <c r="E52" s="18" t="s">
        <v>93</v>
      </c>
      <c r="F52" s="17" t="s">
        <v>134</v>
      </c>
    </row>
    <row r="53" spans="1:6" ht="31.5" x14ac:dyDescent="0.2">
      <c r="A53" s="15">
        <f t="shared" si="0"/>
        <v>41</v>
      </c>
      <c r="B53" s="15">
        <v>9</v>
      </c>
      <c r="C53" s="16" t="s">
        <v>62</v>
      </c>
      <c r="D53" s="17" t="s">
        <v>75</v>
      </c>
      <c r="E53" s="18" t="s">
        <v>94</v>
      </c>
      <c r="F53" s="17" t="s">
        <v>135</v>
      </c>
    </row>
    <row r="54" spans="1:6" x14ac:dyDescent="0.2">
      <c r="A54" s="20"/>
      <c r="B54" s="21"/>
      <c r="C54" s="22"/>
      <c r="D54" s="19"/>
      <c r="E54" s="19"/>
      <c r="F54" s="19"/>
    </row>
    <row r="55" spans="1:6" x14ac:dyDescent="0.2">
      <c r="A55" s="6"/>
      <c r="B55" s="34" t="s">
        <v>1</v>
      </c>
      <c r="C55" s="34"/>
      <c r="D55" s="24" t="s">
        <v>4</v>
      </c>
      <c r="E55" s="34" t="s">
        <v>9</v>
      </c>
      <c r="F55" s="34"/>
    </row>
    <row r="56" spans="1:6" x14ac:dyDescent="0.2">
      <c r="A56" s="7">
        <v>1</v>
      </c>
      <c r="B56" s="32" t="s">
        <v>17</v>
      </c>
      <c r="C56" s="33"/>
      <c r="D56" s="31" t="s">
        <v>18</v>
      </c>
      <c r="E56" s="43" t="s">
        <v>20</v>
      </c>
      <c r="F56" s="44"/>
    </row>
    <row r="57" spans="1:6" x14ac:dyDescent="0.2">
      <c r="A57" s="7">
        <v>2</v>
      </c>
      <c r="B57" s="32" t="s">
        <v>19</v>
      </c>
      <c r="C57" s="33"/>
      <c r="D57" s="31" t="s">
        <v>19</v>
      </c>
      <c r="E57" s="43" t="s">
        <v>19</v>
      </c>
      <c r="F57" s="44"/>
    </row>
    <row r="58" spans="1:6" x14ac:dyDescent="0.2">
      <c r="A58" s="7">
        <v>3</v>
      </c>
      <c r="B58" s="32" t="s">
        <v>19</v>
      </c>
      <c r="C58" s="33"/>
      <c r="D58" s="31" t="s">
        <v>19</v>
      </c>
      <c r="E58" s="43" t="s">
        <v>19</v>
      </c>
      <c r="F58" s="44"/>
    </row>
    <row r="59" spans="1:6" x14ac:dyDescent="0.2">
      <c r="A59" s="7">
        <v>4</v>
      </c>
      <c r="B59" s="32" t="s">
        <v>19</v>
      </c>
      <c r="C59" s="33"/>
      <c r="D59" s="31" t="s">
        <v>19</v>
      </c>
      <c r="E59" s="41" t="s">
        <v>19</v>
      </c>
      <c r="F59" s="42"/>
    </row>
    <row r="60" spans="1:6" x14ac:dyDescent="0.2">
      <c r="A60" s="7">
        <v>5</v>
      </c>
      <c r="B60" s="32" t="s">
        <v>19</v>
      </c>
      <c r="C60" s="33"/>
      <c r="D60" s="31" t="s">
        <v>19</v>
      </c>
      <c r="E60" s="41" t="s">
        <v>19</v>
      </c>
      <c r="F60" s="42"/>
    </row>
    <row r="61" spans="1:6" x14ac:dyDescent="0.2">
      <c r="A61" s="7">
        <v>6</v>
      </c>
      <c r="B61" s="32" t="s">
        <v>19</v>
      </c>
      <c r="C61" s="33"/>
      <c r="D61" s="31" t="s">
        <v>19</v>
      </c>
      <c r="E61" s="41" t="s">
        <v>19</v>
      </c>
      <c r="F61" s="42"/>
    </row>
    <row r="62" spans="1:6" x14ac:dyDescent="0.2">
      <c r="A62" s="7">
        <v>7</v>
      </c>
      <c r="B62" s="32" t="s">
        <v>19</v>
      </c>
      <c r="C62" s="33"/>
      <c r="D62" s="31" t="s">
        <v>19</v>
      </c>
      <c r="E62" s="41" t="s">
        <v>19</v>
      </c>
      <c r="F62" s="42"/>
    </row>
    <row r="63" spans="1:6" x14ac:dyDescent="0.2">
      <c r="A63" s="7">
        <v>8</v>
      </c>
      <c r="B63" s="32" t="s">
        <v>19</v>
      </c>
      <c r="C63" s="33"/>
      <c r="D63" s="31" t="s">
        <v>19</v>
      </c>
      <c r="E63" s="41" t="s">
        <v>19</v>
      </c>
      <c r="F63" s="42"/>
    </row>
    <row r="64" spans="1:6" x14ac:dyDescent="0.2">
      <c r="A64" s="7">
        <v>9</v>
      </c>
      <c r="B64" s="32" t="s">
        <v>19</v>
      </c>
      <c r="C64" s="33"/>
      <c r="D64" s="31" t="s">
        <v>19</v>
      </c>
      <c r="E64" s="41" t="s">
        <v>19</v>
      </c>
      <c r="F64" s="42"/>
    </row>
    <row r="65" spans="1:6" x14ac:dyDescent="0.2">
      <c r="A65" s="7">
        <v>10</v>
      </c>
      <c r="B65" s="32" t="s">
        <v>19</v>
      </c>
      <c r="C65" s="33"/>
      <c r="D65" s="31" t="s">
        <v>19</v>
      </c>
      <c r="E65" s="41" t="s">
        <v>19</v>
      </c>
      <c r="F65" s="42"/>
    </row>
    <row r="66" spans="1:6" x14ac:dyDescent="0.2">
      <c r="D66" s="3"/>
    </row>
    <row r="67" spans="1:6" x14ac:dyDescent="0.2">
      <c r="D67" s="3"/>
    </row>
  </sheetData>
  <mergeCells count="28"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55:F55"/>
    <mergeCell ref="A7:B7"/>
    <mergeCell ref="A3:B3"/>
    <mergeCell ref="A5:B5"/>
    <mergeCell ref="A8:B8"/>
    <mergeCell ref="A9:B9"/>
    <mergeCell ref="A4:B4"/>
    <mergeCell ref="B62:C62"/>
    <mergeCell ref="B63:C63"/>
    <mergeCell ref="B64:C64"/>
    <mergeCell ref="B65:C65"/>
    <mergeCell ref="B55:C55"/>
    <mergeCell ref="B56:C56"/>
    <mergeCell ref="B57:C57"/>
    <mergeCell ref="B58:C58"/>
    <mergeCell ref="B59:C59"/>
    <mergeCell ref="B60:C60"/>
    <mergeCell ref="B61:C61"/>
  </mergeCells>
  <pageMargins left="0.7" right="0.7" top="0.78740157499999996" bottom="0.78740157499999996" header="0.3" footer="0.3"/>
  <pageSetup paperSize="9" orientation="portrait" r:id="rId1"/>
  <headerFooter>
    <oddFooter>&amp;CSeite &amp;P von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Gallus, Phileas</dc:creator>
  <cp:lastModifiedBy>Klimpel, Maja</cp:lastModifiedBy>
  <cp:lastPrinted>2025-04-25T10:18:17Z</cp:lastPrinted>
  <dcterms:created xsi:type="dcterms:W3CDTF">2025-04-16T12:28:27Z</dcterms:created>
  <dcterms:modified xsi:type="dcterms:W3CDTF">2026-08-21T08:04:22Z</dcterms:modified>
</cp:coreProperties>
</file>